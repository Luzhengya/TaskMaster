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iahan\Desktop\"/>
    </mc:Choice>
  </mc:AlternateContent>
  <xr:revisionPtr revIDLastSave="0" documentId="13_ncr:1_{8E70E410-82BC-4E02-BE68-7B26C9C5C41E}" xr6:coauthVersionLast="47" xr6:coauthVersionMax="47" xr10:uidLastSave="{00000000-0000-0000-0000-000000000000}"/>
  <bookViews>
    <workbookView xWindow="-45" yWindow="-16320" windowWidth="29040" windowHeight="15720" tabRatio="910" xr2:uid="{00000000-000D-0000-FFFF-FFFF00000000}"/>
  </bookViews>
  <sheets>
    <sheet name="import" sheetId="36" r:id="rId1"/>
  </sheets>
  <externalReferences>
    <externalReference r:id="rId2"/>
    <externalReference r:id="rId3"/>
    <externalReference r:id="rId4"/>
  </externalReferences>
  <definedNames>
    <definedName name="_Fill" hidden="1">[1]EUC_LIST.WJ2!$A$216:$A$301</definedName>
    <definedName name="_Order1" hidden="1">255</definedName>
    <definedName name="_Regression_X" hidden="1">#REF!</definedName>
    <definedName name="_Table2_In1" hidden="1">[2]LIST!#REF!</definedName>
    <definedName name="_Table2_In2" hidden="1">[2]LIST!#REF!</definedName>
    <definedName name="AccessDatabase" hidden="1">"F:\PRJ\分室管理\フォーム\月次計画Ⅲ.mdb"</definedName>
    <definedName name="HTML_CodePage" hidden="1">932</definedName>
    <definedName name="HTML_Control" hidden="1">{"'2.3 NT(ｱｶｳﾝﾄ)基本方針2'!$A$1:$AN$62"}</definedName>
    <definedName name="HTML_Description" hidden="1">""</definedName>
    <definedName name="HTML_Email" hidden="1">""</definedName>
    <definedName name="HTML_Header" hidden="1">"2.3 NT(ｱｶｳﾝﾄ)"</definedName>
    <definedName name="HTML_LastUpdate" hidden="1">"99/06/25"</definedName>
    <definedName name="HTML_LineAfter" hidden="1">FALSE</definedName>
    <definedName name="HTML_LineBefore" hidden="1">FALSE</definedName>
    <definedName name="HTML_Name" hidden="1">"PC51"</definedName>
    <definedName name="HTML_OBDlg2" hidden="1">TRUE</definedName>
    <definedName name="HTML_OBDlg4" hidden="1">TRUE</definedName>
    <definedName name="HTML_OS" hidden="1">0</definedName>
    <definedName name="HTML_PathFile" hidden="1">"C:\WINDOWS\ﾃﾞｽｸﾄｯﾌﾟ\MyHTML.htm"</definedName>
    <definedName name="HTML_Title" hidden="1">"Book2"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あ" hidden="1">[3]LIST!#REF!</definedName>
    <definedName name="い" hidden="1">[3]LIST!#REF!</definedName>
    <definedName name="関連表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36" l="1"/>
  <c r="V2" i="3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jiahan</author>
  </authors>
  <commentList>
    <comment ref="I1" authorId="0" shapeId="0" xr:uid="{0ABE883D-21F9-4974-BBC2-CF66ACA0FF41}">
      <text>
        <r>
          <rPr>
            <b/>
            <sz val="9"/>
            <color indexed="81"/>
            <rFont val="宋体"/>
            <family val="3"/>
            <charset val="134"/>
          </rPr>
          <t>jiahan:</t>
        </r>
        <r>
          <rPr>
            <sz val="9"/>
            <color indexed="81"/>
            <rFont val="宋体"/>
            <family val="3"/>
            <charset val="134"/>
          </rPr>
          <t xml:space="preserve">
期限は期日+予定工数の関数で算出</t>
        </r>
      </text>
    </comment>
    <comment ref="K1" authorId="0" shapeId="0" xr:uid="{EEB87D42-9996-4BDE-BC08-87D02A060B00}">
      <text>
        <r>
          <rPr>
            <b/>
            <sz val="9"/>
            <color indexed="81"/>
            <rFont val="宋体"/>
            <family val="3"/>
            <charset val="134"/>
          </rPr>
          <t>jiahan:</t>
        </r>
        <r>
          <rPr>
            <sz val="9"/>
            <color indexed="81"/>
            <rFont val="宋体"/>
            <family val="3"/>
            <charset val="134"/>
          </rPr>
          <t xml:space="preserve">
タスクに「New」</t>
        </r>
      </text>
    </comment>
    <comment ref="T1" authorId="0" shapeId="0" xr:uid="{6329E661-65A8-4530-A136-ED0BFB2E87CE}">
      <text>
        <r>
          <rPr>
            <b/>
            <sz val="9"/>
            <color indexed="81"/>
            <rFont val="宋体"/>
            <family val="3"/>
            <charset val="134"/>
          </rPr>
          <t>jiahan:</t>
        </r>
        <r>
          <rPr>
            <sz val="9"/>
            <color indexed="81"/>
            <rFont val="宋体"/>
            <family val="3"/>
            <charset val="134"/>
          </rPr>
          <t xml:space="preserve">
優先度Aにアウトプット記入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E10E53-C5F5-4DCE-86C1-E88C08C965E7}" keepAlive="1" name="查询 - ai_analysis_20260327_194715" description="与工作簿中“ai_analysis_20260327_194715”查询的连接。" type="5" refreshedVersion="0" background="1">
    <dbPr connection="Provider=Microsoft.Mashup.OleDb.1;Data Source=$Workbook$;Location=ai_analysis_20260327_194715;Extended Properties=&quot;&quot;" command="SELECT * FROM [ai_analysis_20260327_194715]"/>
  </connection>
</connections>
</file>

<file path=xl/sharedStrings.xml><?xml version="1.0" encoding="utf-8"?>
<sst xmlns="http://schemas.openxmlformats.org/spreadsheetml/2006/main" count="26" uniqueCount="26">
  <si>
    <t>ステータス</t>
    <phoneticPr fontId="2" type="noConversion"/>
  </si>
  <si>
    <t>期限</t>
    <phoneticPr fontId="2" type="noConversion"/>
  </si>
  <si>
    <t>システム</t>
    <phoneticPr fontId="2" type="noConversion"/>
  </si>
  <si>
    <t>案件</t>
    <phoneticPr fontId="2" type="noConversion"/>
  </si>
  <si>
    <t>備考</t>
    <phoneticPr fontId="2" type="noConversion"/>
  </si>
  <si>
    <t>月次</t>
    <phoneticPr fontId="2" type="noConversion"/>
  </si>
  <si>
    <t>曜日</t>
    <phoneticPr fontId="2" type="noConversion"/>
  </si>
  <si>
    <t>週次</t>
    <phoneticPr fontId="2" type="noConversion"/>
  </si>
  <si>
    <t>タスク</t>
    <phoneticPr fontId="2" type="noConversion"/>
  </si>
  <si>
    <t>期日</t>
    <phoneticPr fontId="2" type="noConversion"/>
  </si>
  <si>
    <t>優先度</t>
    <phoneticPr fontId="2" type="noConversion"/>
  </si>
  <si>
    <t>済</t>
  </si>
  <si>
    <t>日報</t>
    <phoneticPr fontId="2" type="noConversion"/>
  </si>
  <si>
    <t>B</t>
  </si>
  <si>
    <t>仕様確認ミーティング</t>
    <phoneticPr fontId="2" type="noConversion"/>
  </si>
  <si>
    <t>UnivWEB2</t>
    <phoneticPr fontId="2" type="noConversion"/>
  </si>
  <si>
    <t>開始日</t>
    <phoneticPr fontId="2" type="noConversion"/>
  </si>
  <si>
    <t>2026/5月</t>
    <phoneticPr fontId="2" type="noConversion"/>
  </si>
  <si>
    <t>Univ 5月</t>
    <phoneticPr fontId="2" type="noConversion"/>
  </si>
  <si>
    <t>予定工数(H)</t>
    <phoneticPr fontId="2" type="noConversion"/>
  </si>
  <si>
    <t>実績工数(H)</t>
    <phoneticPr fontId="2" type="noConversion"/>
  </si>
  <si>
    <r>
      <t>会</t>
    </r>
    <r>
      <rPr>
        <sz val="11"/>
        <color theme="1"/>
        <rFont val="等线"/>
        <family val="3"/>
        <charset val="134"/>
      </rPr>
      <t>检查</t>
    </r>
    <r>
      <rPr>
        <sz val="11"/>
        <color theme="1"/>
        <rFont val="Meiryo UI"/>
        <family val="2"/>
        <charset val="128"/>
      </rPr>
      <t>有没有名</t>
    </r>
    <r>
      <rPr>
        <sz val="11"/>
        <color theme="1"/>
        <rFont val="等线"/>
        <family val="3"/>
        <charset val="134"/>
      </rPr>
      <t>为</t>
    </r>
    <r>
      <rPr>
        <sz val="11"/>
        <color theme="1"/>
        <rFont val="Meiryo UI"/>
        <family val="2"/>
        <charset val="128"/>
      </rPr>
      <t>import的sheet，如果有就</t>
    </r>
    <r>
      <rPr>
        <sz val="11"/>
        <color theme="1"/>
        <rFont val="等线"/>
        <family val="3"/>
        <charset val="134"/>
      </rPr>
      <t>读</t>
    </r>
    <r>
      <rPr>
        <sz val="11"/>
        <color theme="1"/>
        <rFont val="Meiryo UI"/>
        <family val="2"/>
        <charset val="128"/>
      </rPr>
      <t>取</t>
    </r>
    <r>
      <rPr>
        <sz val="11"/>
        <color theme="1"/>
        <rFont val="等线"/>
        <family val="3"/>
        <charset val="134"/>
      </rPr>
      <t>该</t>
    </r>
    <r>
      <rPr>
        <sz val="11"/>
        <color theme="1"/>
        <rFont val="Meiryo UI"/>
        <family val="2"/>
        <charset val="128"/>
      </rPr>
      <t>sheet，如果没有就</t>
    </r>
    <r>
      <rPr>
        <sz val="11"/>
        <color theme="1"/>
        <rFont val="等线"/>
        <family val="3"/>
        <charset val="134"/>
      </rPr>
      <t>读</t>
    </r>
    <r>
      <rPr>
        <sz val="11"/>
        <color theme="1"/>
        <rFont val="Meiryo UI"/>
        <family val="2"/>
        <charset val="128"/>
      </rPr>
      <t>取第一个sheet</t>
    </r>
    <phoneticPr fontId="2" type="noConversion"/>
  </si>
  <si>
    <r>
      <t>第一行数据不会</t>
    </r>
    <r>
      <rPr>
        <sz val="11"/>
        <color theme="1"/>
        <rFont val="等线"/>
        <family val="3"/>
        <charset val="134"/>
      </rPr>
      <t>读</t>
    </r>
    <r>
      <rPr>
        <sz val="11"/>
        <color theme="1"/>
        <rFont val="Meiryo UI"/>
        <family val="2"/>
        <charset val="128"/>
      </rPr>
      <t>取，从第二行</t>
    </r>
    <r>
      <rPr>
        <sz val="11"/>
        <color theme="1"/>
        <rFont val="等线"/>
        <family val="3"/>
        <charset val="134"/>
      </rPr>
      <t>开</t>
    </r>
    <r>
      <rPr>
        <sz val="11"/>
        <color theme="1"/>
        <rFont val="Meiryo UI"/>
        <family val="2"/>
        <charset val="128"/>
      </rPr>
      <t>始</t>
    </r>
    <phoneticPr fontId="2" type="noConversion"/>
  </si>
  <si>
    <r>
      <t>案件列会被</t>
    </r>
    <r>
      <rPr>
        <sz val="11"/>
        <color theme="1"/>
        <rFont val="等线"/>
        <family val="3"/>
        <charset val="134"/>
      </rPr>
      <t>读</t>
    </r>
    <r>
      <rPr>
        <sz val="11"/>
        <color theme="1"/>
        <rFont val="Meiryo UI"/>
        <family val="2"/>
        <charset val="128"/>
      </rPr>
      <t>取</t>
    </r>
    <r>
      <rPr>
        <sz val="11"/>
        <color theme="1"/>
        <rFont val="等线"/>
        <family val="3"/>
        <charset val="134"/>
      </rPr>
      <t>为</t>
    </r>
    <r>
      <rPr>
        <sz val="11"/>
        <color theme="1"/>
        <rFont val="Meiryo UI"/>
        <family val="2"/>
        <charset val="128"/>
      </rPr>
      <t>父</t>
    </r>
    <r>
      <rPr>
        <sz val="11"/>
        <color theme="1"/>
        <rFont val="等线"/>
        <family val="3"/>
        <charset val="134"/>
      </rPr>
      <t>标题</t>
    </r>
    <phoneticPr fontId="2" type="noConversion"/>
  </si>
  <si>
    <r>
      <t>同一个案件名的タスク列会被</t>
    </r>
    <r>
      <rPr>
        <sz val="11"/>
        <color theme="1"/>
        <rFont val="等线"/>
        <family val="3"/>
        <charset val="134"/>
      </rPr>
      <t>读</t>
    </r>
    <r>
      <rPr>
        <sz val="11"/>
        <color theme="1"/>
        <rFont val="Meiryo UI"/>
        <family val="2"/>
        <charset val="128"/>
      </rPr>
      <t>取</t>
    </r>
    <r>
      <rPr>
        <sz val="11"/>
        <color theme="1"/>
        <rFont val="等线"/>
        <family val="3"/>
        <charset val="134"/>
      </rPr>
      <t>为</t>
    </r>
    <r>
      <rPr>
        <sz val="11"/>
        <color theme="1"/>
        <rFont val="Meiryo UI"/>
        <family val="2"/>
        <charset val="128"/>
      </rPr>
      <t>子任</t>
    </r>
    <r>
      <rPr>
        <sz val="11"/>
        <color theme="1"/>
        <rFont val="等线"/>
        <family val="3"/>
        <charset val="134"/>
      </rPr>
      <t>务标题</t>
    </r>
    <phoneticPr fontId="2" type="noConversion"/>
  </si>
  <si>
    <r>
      <t>白色背景列不会被</t>
    </r>
    <r>
      <rPr>
        <sz val="11"/>
        <color theme="1"/>
        <rFont val="等线"/>
        <family val="3"/>
        <charset val="134"/>
      </rPr>
      <t>读</t>
    </r>
    <r>
      <rPr>
        <sz val="11"/>
        <color theme="1"/>
        <rFont val="Meiryo UI"/>
        <family val="2"/>
        <charset val="128"/>
      </rPr>
      <t>取，空着也没</t>
    </r>
    <r>
      <rPr>
        <sz val="11"/>
        <color theme="1"/>
        <rFont val="等线"/>
        <family val="3"/>
        <charset val="134"/>
      </rPr>
      <t>关</t>
    </r>
    <r>
      <rPr>
        <sz val="11"/>
        <color theme="1"/>
        <rFont val="Meiryo UI"/>
        <family val="2"/>
        <charset val="128"/>
      </rPr>
      <t>系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</si>
</sst>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804]aaaa;@"/>
    <numFmt numFmtId="177" formatCode="yyyy&quot;年&quot;m&quot;月&quot;;@"/>
  </numFmts>
  <fonts count="12" x14ac:knownFonts="1">
    <font>
      <sz val="11"/>
      <color theme="1"/>
      <name val="等线"/>
      <charset val="128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8"/>
      <color theme="3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Meiryo UI"/>
      <family val="2"/>
      <charset val="128"/>
    </font>
    <font>
      <sz val="11"/>
      <color rgb="FFFF0000"/>
      <name val="Meiryo UI"/>
      <family val="2"/>
      <charset val="128"/>
    </font>
    <font>
      <b/>
      <sz val="11"/>
      <color theme="1"/>
      <name val="Meiryo UI"/>
      <family val="2"/>
      <charset val="128"/>
    </font>
    <font>
      <sz val="11"/>
      <name val="Meiryo UI"/>
      <family val="2"/>
      <charset val="128"/>
    </font>
    <font>
      <sz val="11"/>
      <color theme="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/>
    <xf numFmtId="0" fontId="1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ill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7" fillId="0" borderId="0" xfId="0" applyFont="1">
      <alignment vertical="center"/>
    </xf>
    <xf numFmtId="0" fontId="9" fillId="0" borderId="2" xfId="2" applyFont="1" applyFill="1" applyBorder="1" applyAlignment="1">
      <alignment horizontal="left" vertical="top" wrapText="1"/>
    </xf>
    <xf numFmtId="177" fontId="9" fillId="0" borderId="2" xfId="2" applyNumberFormat="1" applyFont="1" applyBorder="1" applyAlignment="1">
      <alignment horizontal="center" vertical="center"/>
    </xf>
    <xf numFmtId="0" fontId="9" fillId="0" borderId="2" xfId="2" applyFont="1" applyFill="1" applyBorder="1" applyAlignment="1">
      <alignment horizontal="left" vertical="top" wrapText="1"/>
    </xf>
    <xf numFmtId="14" fontId="7" fillId="0" borderId="2" xfId="0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2" xfId="0" applyFont="1" applyBorder="1" applyAlignment="1">
      <alignment horizontal="left" vertical="center"/>
    </xf>
    <xf numFmtId="176" fontId="7" fillId="0" borderId="2" xfId="0" applyNumberFormat="1" applyFont="1" applyBorder="1" applyAlignment="1">
      <alignment horizontal="center" vertical="center"/>
    </xf>
    <xf numFmtId="0" fontId="7" fillId="0" borderId="0" xfId="0" applyFont="1" applyFill="1">
      <alignment vertical="center"/>
    </xf>
  </cellXfs>
  <cellStyles count="6">
    <cellStyle name="标题 5" xfId="5" xr:uid="{90B7BBEB-A994-405F-BF42-9A8A9770397E}"/>
    <cellStyle name="標準 2" xfId="1" xr:uid="{00000000-0005-0000-0000-000001000000}"/>
    <cellStyle name="常规" xfId="0" builtinId="0"/>
    <cellStyle name="常规 2" xfId="2" xr:uid="{D09E5693-AA1F-4E7A-97B9-B9888C013A5C}"/>
    <cellStyle name="常规 3" xfId="3" xr:uid="{A5987A1B-0618-4CDB-97AD-2FED5D1ADE80}"/>
    <cellStyle name="常规 3 2" xfId="4" xr:uid="{A5FBF76E-4EDE-4190-93BA-962612AF6525}"/>
  </cellStyles>
  <dxfs count="8"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strike/>
      </font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2"/>
        </patternFill>
      </fill>
    </dxf>
    <dxf>
      <font>
        <color rgb="FFC00000"/>
      </font>
    </dxf>
    <dxf>
      <font>
        <b/>
        <i val="0"/>
        <color rgb="FFFF0000"/>
      </font>
      <fill>
        <patternFill>
          <bgColor theme="2"/>
        </patternFill>
      </fill>
    </dxf>
  </dxfs>
  <tableStyles count="0" defaultTableStyle="TableStyleMedium2" defaultPivotStyle="PivotStyleLight16"/>
  <colors>
    <mruColors>
      <color rgb="FFFFF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boo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oregate.ho.nexs.nec.co.jp\nextstg\docume~1\750711~1.750\locals~1\temp\lh_tmp0\&#26989;&#21209;&#35373;&#35336;\&#22522;&#26412;&#35373;&#35336;\&#23487;&#27850;&#65316;&#65314;\DDSYS\DD\HANBAI\ANOP\DATAITEM\DDMA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74.169\NextStg\&#26989;&#21209;&#35373;&#35336;\&#22522;&#26412;&#35373;&#35336;\&#23487;&#27850;&#65316;&#65314;\DDSYS\DD\HANBAI\ANOP\DATAITEM\DDMA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C_LIST.WJ2"/>
      <sheetName val="EUC_LIST_WJ2"/>
      <sheetName val="データ"/>
      <sheetName val="2024年03月"/>
      <sheetName val="2024年05月"/>
      <sheetName val="2024年01月"/>
      <sheetName val="業種"/>
    </sheetNames>
    <sheetDataSet>
      <sheetData sheetId="0" refreshError="1">
        <row r="216">
          <cell r="A216">
            <v>147</v>
          </cell>
        </row>
        <row r="217">
          <cell r="A217">
            <v>148</v>
          </cell>
        </row>
        <row r="218">
          <cell r="A218">
            <v>149</v>
          </cell>
        </row>
        <row r="219">
          <cell r="A219">
            <v>150</v>
          </cell>
        </row>
        <row r="220">
          <cell r="A220">
            <v>151</v>
          </cell>
        </row>
        <row r="221">
          <cell r="A221">
            <v>152</v>
          </cell>
        </row>
        <row r="222">
          <cell r="A222">
            <v>153</v>
          </cell>
        </row>
        <row r="223">
          <cell r="A223">
            <v>154</v>
          </cell>
        </row>
        <row r="224">
          <cell r="A224">
            <v>155</v>
          </cell>
        </row>
        <row r="225">
          <cell r="A225">
            <v>156</v>
          </cell>
        </row>
        <row r="226">
          <cell r="A226">
            <v>157</v>
          </cell>
        </row>
        <row r="227">
          <cell r="A227">
            <v>158</v>
          </cell>
        </row>
        <row r="228">
          <cell r="A228">
            <v>159</v>
          </cell>
        </row>
        <row r="229">
          <cell r="A229">
            <v>160</v>
          </cell>
        </row>
        <row r="230">
          <cell r="A230">
            <v>161</v>
          </cell>
        </row>
        <row r="231">
          <cell r="A231">
            <v>162</v>
          </cell>
        </row>
        <row r="232">
          <cell r="A232">
            <v>163</v>
          </cell>
        </row>
        <row r="233">
          <cell r="A233">
            <v>164</v>
          </cell>
        </row>
        <row r="234">
          <cell r="A234">
            <v>165</v>
          </cell>
        </row>
        <row r="235">
          <cell r="A235">
            <v>166</v>
          </cell>
        </row>
        <row r="236">
          <cell r="A236">
            <v>167</v>
          </cell>
        </row>
        <row r="237">
          <cell r="A237">
            <v>168</v>
          </cell>
        </row>
        <row r="238">
          <cell r="A238">
            <v>169</v>
          </cell>
        </row>
        <row r="239">
          <cell r="A239">
            <v>170</v>
          </cell>
        </row>
        <row r="240">
          <cell r="A240">
            <v>171</v>
          </cell>
        </row>
        <row r="241">
          <cell r="A241">
            <v>172</v>
          </cell>
        </row>
        <row r="242">
          <cell r="A242">
            <v>173</v>
          </cell>
        </row>
        <row r="243">
          <cell r="A243">
            <v>174</v>
          </cell>
        </row>
        <row r="244">
          <cell r="A244">
            <v>175</v>
          </cell>
        </row>
        <row r="245">
          <cell r="A245">
            <v>176</v>
          </cell>
        </row>
        <row r="246">
          <cell r="A246">
            <v>177</v>
          </cell>
        </row>
        <row r="247">
          <cell r="A247">
            <v>178</v>
          </cell>
        </row>
        <row r="248">
          <cell r="A248">
            <v>179</v>
          </cell>
        </row>
        <row r="249">
          <cell r="A249">
            <v>180</v>
          </cell>
        </row>
        <row r="250">
          <cell r="A250">
            <v>181</v>
          </cell>
        </row>
        <row r="251">
          <cell r="A251">
            <v>182</v>
          </cell>
        </row>
        <row r="252">
          <cell r="A252">
            <v>183</v>
          </cell>
        </row>
        <row r="253">
          <cell r="A253">
            <v>184</v>
          </cell>
        </row>
        <row r="254">
          <cell r="A254">
            <v>185</v>
          </cell>
        </row>
        <row r="255">
          <cell r="A255">
            <v>186</v>
          </cell>
        </row>
        <row r="256">
          <cell r="A256">
            <v>187</v>
          </cell>
        </row>
        <row r="257">
          <cell r="A257">
            <v>188</v>
          </cell>
        </row>
        <row r="258">
          <cell r="A258">
            <v>189</v>
          </cell>
        </row>
        <row r="259">
          <cell r="A259">
            <v>190</v>
          </cell>
        </row>
        <row r="260">
          <cell r="A260">
            <v>191</v>
          </cell>
        </row>
        <row r="261">
          <cell r="A261">
            <v>192</v>
          </cell>
        </row>
        <row r="262">
          <cell r="A262">
            <v>193</v>
          </cell>
        </row>
        <row r="263">
          <cell r="A263">
            <v>194</v>
          </cell>
        </row>
        <row r="264">
          <cell r="A264">
            <v>195</v>
          </cell>
        </row>
        <row r="265">
          <cell r="A265">
            <v>196</v>
          </cell>
        </row>
        <row r="266">
          <cell r="A266">
            <v>197</v>
          </cell>
        </row>
        <row r="267">
          <cell r="A267">
            <v>198</v>
          </cell>
        </row>
        <row r="268">
          <cell r="A268">
            <v>199</v>
          </cell>
        </row>
        <row r="269">
          <cell r="A269">
            <v>200</v>
          </cell>
        </row>
        <row r="270">
          <cell r="A270">
            <v>201</v>
          </cell>
        </row>
        <row r="271">
          <cell r="A271">
            <v>202</v>
          </cell>
        </row>
        <row r="272">
          <cell r="A272">
            <v>203</v>
          </cell>
        </row>
        <row r="273">
          <cell r="A273">
            <v>204</v>
          </cell>
        </row>
        <row r="274">
          <cell r="A274">
            <v>205</v>
          </cell>
        </row>
        <row r="275">
          <cell r="A275">
            <v>206</v>
          </cell>
        </row>
        <row r="276">
          <cell r="A276">
            <v>207</v>
          </cell>
        </row>
        <row r="277">
          <cell r="A277">
            <v>208</v>
          </cell>
        </row>
        <row r="278">
          <cell r="A278">
            <v>209</v>
          </cell>
        </row>
        <row r="279">
          <cell r="A279">
            <v>210</v>
          </cell>
        </row>
        <row r="280">
          <cell r="A280">
            <v>211</v>
          </cell>
        </row>
        <row r="281">
          <cell r="A281">
            <v>212</v>
          </cell>
        </row>
        <row r="282">
          <cell r="A282">
            <v>213</v>
          </cell>
        </row>
        <row r="283">
          <cell r="A283">
            <v>214</v>
          </cell>
        </row>
        <row r="284">
          <cell r="A284">
            <v>215</v>
          </cell>
        </row>
        <row r="285">
          <cell r="A285">
            <v>216</v>
          </cell>
        </row>
        <row r="286">
          <cell r="A286">
            <v>217</v>
          </cell>
        </row>
        <row r="287">
          <cell r="A287">
            <v>218</v>
          </cell>
        </row>
        <row r="288">
          <cell r="A288">
            <v>219</v>
          </cell>
        </row>
        <row r="289">
          <cell r="A289">
            <v>220</v>
          </cell>
        </row>
        <row r="290">
          <cell r="A290">
            <v>221</v>
          </cell>
        </row>
        <row r="291">
          <cell r="A291">
            <v>222</v>
          </cell>
        </row>
        <row r="292">
          <cell r="A292">
            <v>223</v>
          </cell>
        </row>
        <row r="293">
          <cell r="A293">
            <v>224</v>
          </cell>
        </row>
        <row r="294">
          <cell r="A294">
            <v>225</v>
          </cell>
        </row>
        <row r="295">
          <cell r="A295">
            <v>226</v>
          </cell>
        </row>
        <row r="296">
          <cell r="A296">
            <v>227</v>
          </cell>
        </row>
        <row r="297">
          <cell r="A297">
            <v>228</v>
          </cell>
        </row>
        <row r="298">
          <cell r="A298">
            <v>229</v>
          </cell>
        </row>
        <row r="299">
          <cell r="A299">
            <v>230</v>
          </cell>
        </row>
        <row r="300">
          <cell r="A300">
            <v>231</v>
          </cell>
        </row>
        <row r="301">
          <cell r="A301">
            <v>232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ST"/>
      <sheetName val="表紙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ST"/>
      <sheetName val="内部設計(表紙)"/>
      <sheetName val="内部設計(改版履歴)"/>
      <sheetName val="画面遷移図（棚卸入力）"/>
      <sheetName val="画面設計①"/>
      <sheetName val="画面設計②"/>
      <sheetName val="内部設計(処理内容)"/>
      <sheetName val="内部設計(処理内容) (1)"/>
      <sheetName val="内部設計(処理内容) (2)"/>
      <sheetName val="内部設計(処理内容) (3)"/>
      <sheetName val="内部設計(画面入出力仕様)"/>
      <sheetName val="内部設計(画面入出力仕様) (2)"/>
      <sheetName val="内部設計(ﾃｰﾌﾞﾙ更新)(1)"/>
      <sheetName val="内部設計(ﾃｰﾌﾞﾙ更新) (2)"/>
      <sheetName val="内部設計(ﾃｰﾌﾞﾙ更新) (3)"/>
      <sheetName val="内部設計(イベント定義書) (1)"/>
      <sheetName val="内部設計(イベント定義書) (2)"/>
      <sheetName val="内部設計(イベント定義書) (3)"/>
      <sheetName val="内部設計(イベント定義書) (4)"/>
      <sheetName val="内部設計(チェック条件表)"/>
      <sheetName val="内部設計(チェック条件表) (1)"/>
      <sheetName val="テスト仕様"/>
      <sheetName val="バグトラブル管理表"/>
      <sheetName val="Sheet1 (3)"/>
      <sheetName val="Sheet1 (4)"/>
      <sheetName val="Sheet1 (6)"/>
      <sheetName val="Sheet1 (5)"/>
      <sheetName val="全社_一般商品マス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D0DDD-78DF-4517-BA0A-A8D0A5DD86BA}">
  <dimension ref="A1:V43"/>
  <sheetViews>
    <sheetView tabSelected="1" workbookViewId="0">
      <selection activeCell="L13" sqref="L13"/>
    </sheetView>
  </sheetViews>
  <sheetFormatPr defaultRowHeight="13.8" x14ac:dyDescent="0.25"/>
  <cols>
    <col min="1" max="2" width="8.88671875" style="1"/>
    <col min="5" max="5" width="15.109375" style="1" customWidth="1"/>
    <col min="6" max="9" width="11.33203125" bestFit="1" customWidth="1"/>
    <col min="17" max="18" width="9" bestFit="1" customWidth="1"/>
    <col min="21" max="22" width="9" bestFit="1" customWidth="1"/>
  </cols>
  <sheetData>
    <row r="1" spans="1:22" s="13" customFormat="1" ht="13.8" customHeight="1" x14ac:dyDescent="0.25">
      <c r="A1" s="2" t="s">
        <v>2</v>
      </c>
      <c r="B1" s="3"/>
      <c r="C1" s="2" t="s">
        <v>5</v>
      </c>
      <c r="D1" s="3"/>
      <c r="E1" s="4" t="s">
        <v>3</v>
      </c>
      <c r="F1" s="5" t="s">
        <v>12</v>
      </c>
      <c r="G1" s="6" t="s">
        <v>16</v>
      </c>
      <c r="H1" s="4" t="s">
        <v>9</v>
      </c>
      <c r="I1" s="7" t="s">
        <v>1</v>
      </c>
      <c r="J1" s="8" t="s">
        <v>0</v>
      </c>
      <c r="K1" s="9" t="s">
        <v>8</v>
      </c>
      <c r="L1" s="10"/>
      <c r="M1" s="10"/>
      <c r="N1" s="10"/>
      <c r="O1" s="10"/>
      <c r="P1" s="11"/>
      <c r="Q1" s="12" t="s">
        <v>19</v>
      </c>
      <c r="R1" s="12" t="s">
        <v>20</v>
      </c>
      <c r="S1" s="6" t="s">
        <v>10</v>
      </c>
      <c r="T1" s="7" t="s">
        <v>4</v>
      </c>
      <c r="U1" s="5" t="s">
        <v>6</v>
      </c>
      <c r="V1" s="5" t="s">
        <v>7</v>
      </c>
    </row>
    <row r="2" spans="1:22" s="13" customFormat="1" ht="15.6" customHeight="1" x14ac:dyDescent="0.25">
      <c r="A2" s="14" t="s">
        <v>15</v>
      </c>
      <c r="B2" s="14"/>
      <c r="C2" s="15" t="s">
        <v>17</v>
      </c>
      <c r="D2" s="15"/>
      <c r="E2" s="16" t="s">
        <v>18</v>
      </c>
      <c r="F2" s="17">
        <v>46119</v>
      </c>
      <c r="G2" s="17">
        <v>46119</v>
      </c>
      <c r="H2" s="17">
        <v>46119</v>
      </c>
      <c r="I2" s="17">
        <v>46119</v>
      </c>
      <c r="J2" s="18" t="s">
        <v>11</v>
      </c>
      <c r="K2" s="19" t="s">
        <v>14</v>
      </c>
      <c r="L2" s="20"/>
      <c r="M2" s="20"/>
      <c r="N2" s="20"/>
      <c r="O2" s="20"/>
      <c r="P2" s="21"/>
      <c r="Q2" s="22">
        <v>1</v>
      </c>
      <c r="R2" s="23">
        <v>1</v>
      </c>
      <c r="S2" s="24" t="s">
        <v>13</v>
      </c>
      <c r="T2" s="24"/>
      <c r="U2" s="25">
        <f t="shared" ref="U2" si="0">IF(ISNUMBER(DATEVALUE(TEXT(IF(ISBLANK(H2),I2,H2),"yyyy/MM/dd"))),IF(ISBLANK(H2), WEEKDAY(I2), WEEKDAY(H2)),"")</f>
        <v>3</v>
      </c>
      <c r="V2" s="25" t="e">
        <f>IF(W2=#REF!-1,"先週",IF(W2=#REF!,"今週",IF(W2=#REF!+1,"来週",IF(W2=99,"定例",""))))</f>
        <v>#REF!</v>
      </c>
    </row>
    <row r="3" spans="1:22" s="13" customFormat="1" ht="15" x14ac:dyDescent="0.25">
      <c r="A3" s="26"/>
      <c r="B3" s="26"/>
      <c r="E3" s="26"/>
    </row>
    <row r="4" spans="1:22" s="13" customFormat="1" ht="15" x14ac:dyDescent="0.25">
      <c r="A4" s="26"/>
      <c r="B4" s="26"/>
      <c r="E4" s="26"/>
    </row>
    <row r="5" spans="1:22" s="13" customFormat="1" ht="15" x14ac:dyDescent="0.25">
      <c r="A5" s="26" t="s">
        <v>21</v>
      </c>
      <c r="B5" s="26"/>
      <c r="E5" s="26"/>
    </row>
    <row r="6" spans="1:22" s="13" customFormat="1" ht="15" x14ac:dyDescent="0.25">
      <c r="A6" s="26" t="s">
        <v>22</v>
      </c>
      <c r="B6" s="26"/>
      <c r="E6" s="26"/>
    </row>
    <row r="7" spans="1:22" s="13" customFormat="1" ht="15" x14ac:dyDescent="0.25">
      <c r="A7" s="26" t="s">
        <v>23</v>
      </c>
      <c r="B7" s="26"/>
      <c r="E7" s="26"/>
    </row>
    <row r="8" spans="1:22" s="13" customFormat="1" ht="15" x14ac:dyDescent="0.25">
      <c r="A8" s="26" t="s">
        <v>24</v>
      </c>
      <c r="B8" s="26"/>
      <c r="E8" s="26"/>
    </row>
    <row r="9" spans="1:22" s="13" customFormat="1" ht="15" x14ac:dyDescent="0.25">
      <c r="A9" s="26" t="s">
        <v>25</v>
      </c>
      <c r="B9" s="26"/>
      <c r="E9" s="26"/>
    </row>
    <row r="10" spans="1:22" s="13" customFormat="1" ht="15" x14ac:dyDescent="0.25">
      <c r="A10" s="26"/>
      <c r="B10" s="26"/>
      <c r="E10" s="26"/>
    </row>
    <row r="11" spans="1:22" s="13" customFormat="1" ht="15" x14ac:dyDescent="0.25">
      <c r="A11" s="26"/>
      <c r="B11" s="26"/>
      <c r="E11" s="26"/>
    </row>
    <row r="12" spans="1:22" s="13" customFormat="1" ht="15" x14ac:dyDescent="0.25">
      <c r="A12" s="26"/>
      <c r="B12" s="26"/>
      <c r="E12" s="26"/>
    </row>
    <row r="13" spans="1:22" s="13" customFormat="1" ht="15" x14ac:dyDescent="0.25">
      <c r="A13" s="26"/>
      <c r="B13" s="26"/>
      <c r="E13" s="26"/>
    </row>
    <row r="14" spans="1:22" s="13" customFormat="1" ht="15" x14ac:dyDescent="0.25">
      <c r="A14" s="26"/>
      <c r="B14" s="26"/>
      <c r="E14" s="26"/>
    </row>
    <row r="15" spans="1:22" s="13" customFormat="1" ht="15" x14ac:dyDescent="0.25">
      <c r="A15" s="26"/>
      <c r="B15" s="26"/>
      <c r="E15" s="26"/>
    </row>
    <row r="16" spans="1:22" s="13" customFormat="1" ht="15" x14ac:dyDescent="0.25">
      <c r="A16" s="26"/>
      <c r="B16" s="26"/>
      <c r="E16" s="26"/>
    </row>
    <row r="17" spans="1:5" s="13" customFormat="1" ht="15" x14ac:dyDescent="0.25">
      <c r="A17" s="26"/>
      <c r="B17" s="26"/>
      <c r="E17" s="26"/>
    </row>
    <row r="18" spans="1:5" s="13" customFormat="1" ht="15" x14ac:dyDescent="0.25">
      <c r="A18" s="26"/>
      <c r="B18" s="26"/>
      <c r="E18" s="26"/>
    </row>
    <row r="19" spans="1:5" s="13" customFormat="1" ht="15" x14ac:dyDescent="0.25">
      <c r="A19" s="26"/>
      <c r="B19" s="26"/>
      <c r="E19" s="26"/>
    </row>
    <row r="20" spans="1:5" s="13" customFormat="1" ht="15" x14ac:dyDescent="0.25">
      <c r="A20" s="26"/>
      <c r="B20" s="26"/>
      <c r="E20" s="26"/>
    </row>
    <row r="21" spans="1:5" s="13" customFormat="1" ht="15" x14ac:dyDescent="0.25">
      <c r="A21" s="26"/>
      <c r="B21" s="26"/>
      <c r="E21" s="26"/>
    </row>
    <row r="22" spans="1:5" s="13" customFormat="1" ht="15" x14ac:dyDescent="0.25">
      <c r="A22" s="26"/>
      <c r="B22" s="26"/>
      <c r="E22" s="26"/>
    </row>
    <row r="23" spans="1:5" s="13" customFormat="1" ht="15" x14ac:dyDescent="0.25">
      <c r="A23" s="26"/>
      <c r="B23" s="26"/>
      <c r="E23" s="26"/>
    </row>
    <row r="24" spans="1:5" s="13" customFormat="1" ht="15" x14ac:dyDescent="0.25">
      <c r="A24" s="26"/>
      <c r="B24" s="26"/>
      <c r="E24" s="26"/>
    </row>
    <row r="25" spans="1:5" s="13" customFormat="1" ht="15" x14ac:dyDescent="0.25">
      <c r="A25" s="26"/>
      <c r="B25" s="26"/>
      <c r="E25" s="26"/>
    </row>
    <row r="26" spans="1:5" s="13" customFormat="1" ht="15" x14ac:dyDescent="0.25">
      <c r="A26" s="26"/>
      <c r="B26" s="26"/>
      <c r="E26" s="26"/>
    </row>
    <row r="27" spans="1:5" s="13" customFormat="1" ht="15" x14ac:dyDescent="0.25">
      <c r="A27" s="26"/>
      <c r="B27" s="26"/>
      <c r="E27" s="26"/>
    </row>
    <row r="28" spans="1:5" s="13" customFormat="1" ht="15" x14ac:dyDescent="0.25">
      <c r="A28" s="26"/>
      <c r="B28" s="26"/>
      <c r="E28" s="26"/>
    </row>
    <row r="29" spans="1:5" s="13" customFormat="1" ht="15" x14ac:dyDescent="0.25">
      <c r="A29" s="26"/>
      <c r="B29" s="26"/>
      <c r="E29" s="26"/>
    </row>
    <row r="30" spans="1:5" s="13" customFormat="1" ht="15" x14ac:dyDescent="0.25">
      <c r="A30" s="26"/>
      <c r="B30" s="26"/>
      <c r="E30" s="26"/>
    </row>
    <row r="31" spans="1:5" s="13" customFormat="1" ht="15" x14ac:dyDescent="0.25">
      <c r="A31" s="26"/>
      <c r="B31" s="26"/>
      <c r="E31" s="26"/>
    </row>
    <row r="32" spans="1:5" s="13" customFormat="1" ht="15" x14ac:dyDescent="0.25">
      <c r="A32" s="26"/>
      <c r="B32" s="26"/>
      <c r="E32" s="26"/>
    </row>
    <row r="33" spans="1:5" s="13" customFormat="1" ht="15" x14ac:dyDescent="0.25">
      <c r="A33" s="26"/>
      <c r="B33" s="26"/>
      <c r="E33" s="26"/>
    </row>
    <row r="34" spans="1:5" s="13" customFormat="1" ht="15" x14ac:dyDescent="0.25">
      <c r="A34" s="26"/>
      <c r="B34" s="26"/>
      <c r="E34" s="26"/>
    </row>
    <row r="35" spans="1:5" s="13" customFormat="1" ht="15" x14ac:dyDescent="0.25">
      <c r="A35" s="26"/>
      <c r="B35" s="26"/>
      <c r="E35" s="26"/>
    </row>
    <row r="36" spans="1:5" s="13" customFormat="1" ht="15" x14ac:dyDescent="0.25">
      <c r="A36" s="26"/>
      <c r="B36" s="26"/>
      <c r="E36" s="26"/>
    </row>
    <row r="37" spans="1:5" s="13" customFormat="1" ht="15" x14ac:dyDescent="0.25">
      <c r="A37" s="26"/>
      <c r="B37" s="26"/>
      <c r="E37" s="26"/>
    </row>
    <row r="38" spans="1:5" s="13" customFormat="1" ht="15" x14ac:dyDescent="0.25">
      <c r="A38" s="26"/>
      <c r="B38" s="26"/>
      <c r="E38" s="26"/>
    </row>
    <row r="39" spans="1:5" s="13" customFormat="1" ht="15" x14ac:dyDescent="0.25">
      <c r="A39" s="26"/>
      <c r="B39" s="26"/>
      <c r="E39" s="26"/>
    </row>
    <row r="40" spans="1:5" s="13" customFormat="1" ht="15" x14ac:dyDescent="0.25">
      <c r="A40" s="26"/>
      <c r="B40" s="26"/>
      <c r="E40" s="26"/>
    </row>
    <row r="41" spans="1:5" s="13" customFormat="1" ht="15" x14ac:dyDescent="0.25">
      <c r="A41" s="26"/>
      <c r="B41" s="26"/>
      <c r="E41" s="26"/>
    </row>
    <row r="42" spans="1:5" s="13" customFormat="1" ht="15" x14ac:dyDescent="0.25">
      <c r="A42" s="26"/>
      <c r="B42" s="26"/>
      <c r="E42" s="26"/>
    </row>
    <row r="43" spans="1:5" s="13" customFormat="1" ht="15" x14ac:dyDescent="0.25">
      <c r="A43" s="26"/>
      <c r="B43" s="26"/>
      <c r="E43" s="26"/>
    </row>
  </sheetData>
  <mergeCells count="5">
    <mergeCell ref="A2:B2"/>
    <mergeCell ref="C2:D2"/>
    <mergeCell ref="A1:B1"/>
    <mergeCell ref="C1:D1"/>
    <mergeCell ref="K1:P1"/>
  </mergeCells>
  <phoneticPr fontId="2" type="noConversion"/>
  <conditionalFormatting sqref="F2:V2">
    <cfRule type="expression" dxfId="7" priority="1">
      <formula>$K2="再遅"</formula>
    </cfRule>
    <cfRule type="expression" dxfId="6" priority="2">
      <formula>AND($G2&lt;&gt;"", OR($G2&gt;$I2, $G2&gt;$J2))</formula>
    </cfRule>
    <cfRule type="expression" dxfId="5" priority="3">
      <formula>$K2="遅れ"</formula>
    </cfRule>
    <cfRule type="expression" dxfId="4" priority="4">
      <formula>$G2=TODAY()</formula>
    </cfRule>
    <cfRule type="expression" dxfId="3" priority="5">
      <formula>$K2="済"</formula>
    </cfRule>
    <cfRule type="expression" dxfId="2" priority="6">
      <formula>$K2="なし"</formula>
    </cfRule>
    <cfRule type="expression" dxfId="1" priority="7">
      <formula>$G2=TODAY()</formula>
    </cfRule>
  </conditionalFormatting>
  <conditionalFormatting sqref="S1:S2">
    <cfRule type="cellIs" dxfId="0" priority="8" operator="equal">
      <formula>"A"</formula>
    </cfRule>
  </conditionalFormatting>
  <dataValidations count="1">
    <dataValidation type="list" allowBlank="1" showInputMessage="1" showErrorMessage="1" sqref="S2" xr:uid="{9F1A79B0-0F1C-4B3F-B250-2B2270C7F469}">
      <formula1>"A,B,C"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68BFAB1-D328-4CBE-B2BC-BFC0ED4CFA36}">
          <x14:formula1>
            <xm:f>#REF!</xm:f>
          </x14:formula1>
          <xm:sqref>J2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0704E6647675B4CBC396FF585FC04EF" ma:contentTypeVersion="18" ma:contentTypeDescription="新しいドキュメントを作成します。" ma:contentTypeScope="" ma:versionID="d64c7db22a6a58d52764005ec4700620">
  <xsd:schema xmlns:xsd="http://www.w3.org/2001/XMLSchema" xmlns:xs="http://www.w3.org/2001/XMLSchema" xmlns:p="http://schemas.microsoft.com/office/2006/metadata/properties" xmlns:ns2="961059c3-3dea-4126-8fe5-5ed18acc7dd9" xmlns:ns3="a8bb5a8c-0de4-44cc-b65b-562856de598a" targetNamespace="http://schemas.microsoft.com/office/2006/metadata/properties" ma:root="true" ma:fieldsID="5fd4ff93f8c2d733be548842bf7d745c" ns2:_="" ns3:_="">
    <xsd:import namespace="961059c3-3dea-4126-8fe5-5ed18acc7dd9"/>
    <xsd:import namespace="a8bb5a8c-0de4-44cc-b65b-562856de59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059c3-3dea-4126-8fe5-5ed18acc7d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fcf5ad60-edb4-46ab-916d-4e99b58e71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bb5a8c-0de4-44cc-b65b-562856de598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9c7bbbd-2e43-4e7a-94d9-b6fc77eeefdd}" ma:internalName="TaxCatchAll" ma:showField="CatchAllData" ma:web="a8bb5a8c-0de4-44cc-b65b-562856de59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1059c3-3dea-4126-8fe5-5ed18acc7dd9">
      <Terms xmlns="http://schemas.microsoft.com/office/infopath/2007/PartnerControls"/>
    </lcf76f155ced4ddcb4097134ff3c332f>
    <TaxCatchAll xmlns="a8bb5a8c-0de4-44cc-b65b-562856de598a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1F5AE0-BEA9-4720-AA7E-DE06D3C283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1059c3-3dea-4126-8fe5-5ed18acc7dd9"/>
    <ds:schemaRef ds:uri="a8bb5a8c-0de4-44cc-b65b-562856de59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DC5B73-90CF-4475-BAA6-D61FE774F8F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E76E0DFD-AB39-45D1-ADB3-F68DEC4C8F8D}">
  <ds:schemaRefs>
    <ds:schemaRef ds:uri="http://purl.org/dc/dcmitype/"/>
    <ds:schemaRef ds:uri="http://purl.org/dc/terms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a8bb5a8c-0de4-44cc-b65b-562856de598a"/>
    <ds:schemaRef ds:uri="http://schemas.openxmlformats.org/package/2006/metadata/core-properties"/>
    <ds:schemaRef ds:uri="http://schemas.microsoft.com/office/infopath/2007/PartnerControls"/>
    <ds:schemaRef ds:uri="961059c3-3dea-4126-8fe5-5ed18acc7dd9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FD745B0B-AB9E-4781-B237-4EE6AF1B02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rismon</dc:creator>
  <cp:lastModifiedBy>賈　含</cp:lastModifiedBy>
  <dcterms:created xsi:type="dcterms:W3CDTF">2022-07-11T19:34:00Z</dcterms:created>
  <dcterms:modified xsi:type="dcterms:W3CDTF">2026-05-15T07:54:48Z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1041-5.4.1.7973</vt:lpwstr>
  </property>
  <property fmtid="{D5CDD505-2E9C-101B-9397-08002B2CF9AE}" pid="3" name="ContentTypeId">
    <vt:lpwstr>0x01010070704E6647675B4CBC396FF585FC04EF</vt:lpwstr>
  </property>
  <property fmtid="{D5CDD505-2E9C-101B-9397-08002B2CF9AE}" pid="4" name="MediaServiceImageTags">
    <vt:lpwstr/>
  </property>
</Properties>
</file>